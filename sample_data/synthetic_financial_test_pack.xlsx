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c23748614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s" sheetId="1" r:id="R0c2100094e4c4580"/>
    <x:sheet xmlns:r="http://schemas.openxmlformats.org/officeDocument/2006/relationships" name="Bank Transactions" sheetId="2" r:id="R77a99d767413437b"/>
    <x:sheet xmlns:r="http://schemas.openxmlformats.org/officeDocument/2006/relationships" name="Checks" sheetId="3" r:id="R3d0beb708e0d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%;[Red](0.0%);-"/>
    <x:numFmt numFmtId="202" formatCode="yyyy-mm-dd"/>
    <x:numFmt numFmtId="203" formatCode="#,##0.00;[Red](#,##0.00);-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e7661fd8748bf" /><Relationship Type="http://schemas.openxmlformats.org/officeDocument/2006/relationships/theme" Target="/xl/theme/theme1.xml" Id="Reba55cce3b684806" /><Relationship Type="http://schemas.openxmlformats.org/officeDocument/2006/relationships/sharedStrings" Target="/xl/sharedStrings.xml" Id="R756c2b6d074d4c79" /><Relationship Type="http://schemas.openxmlformats.org/officeDocument/2006/relationships/worksheet" Target="/xl/worksheets/sheet1.xml" Id="R0c2100094e4c4580" /><Relationship Type="http://schemas.openxmlformats.org/officeDocument/2006/relationships/worksheet" Target="/xl/worksheets/sheet2.xml" Id="R77a99d767413437b" /><Relationship Type="http://schemas.openxmlformats.org/officeDocument/2006/relationships/worksheet" Target="/xl/worksheets/sheet3.xml" Id="R3d0beb708e0d45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4" hidden="0" customWidth="1"/>
  </x:cols>
  <x:sheetData>
    <x:row r="1">
      <x:c r="A1" s="2" t="str">
        <x:v>Northstar Trading Ltd. - Synthetic Financial Statements</x:v>
      </x:c>
      <x:c r="B1" s="2"/>
      <x:c r="C1" s="2"/>
      <x:c r="D1" s="2"/>
    </x:row>
    <x:row r="2">
      <x:c r="A2" s="4" t="str">
        <x:v>Year ended 31 December 2025 | BDT | SYNTHETIC TEST DATA</x:v>
      </x:c>
      <x:c r="B2" s="4"/>
      <x:c r="C2" s="4"/>
      <x:c r="D2" s="4"/>
    </x:row>
    <x:row r="4">
      <x:c r="A4" s="7" t="str">
        <x:v>Line Item</x:v>
      </x:c>
      <x:c r="B4" s="8" t="str">
        <x:v>2025</x:v>
      </x:c>
      <x:c r="C4" s="8" t="str">
        <x:v>2024</x:v>
      </x:c>
      <x:c r="D4" s="9" t="str">
        <x:v>Change %</x:v>
      </x:c>
    </x:row>
    <x:row r="5">
      <x:c r="A5" t="str">
        <x:v>Revenue</x:v>
      </x:c>
      <x:c r="B5" s="10" t="n">
        <x:v>48500000</x:v>
      </x:c>
      <x:c r="C5" s="10" t="n">
        <x:v>41200000</x:v>
      </x:c>
      <x:c r="D5" s="11" t="n">
        <x:f>IF(C5=0,0,B5/C5-1)</x:f>
        <x:v>0.1771844660194175</x:v>
      </x:c>
    </x:row>
    <x:row r="6">
      <x:c r="A6" t="str">
        <x:v>Cost of sales</x:v>
      </x:c>
      <x:c r="B6" s="10" t="n">
        <x:v>-32250000</x:v>
      </x:c>
      <x:c r="C6" s="10" t="n">
        <x:v>-28400000</x:v>
      </x:c>
      <x:c r="D6" s="11" t="n">
        <x:f>IF(C6=0,0,B6/C6-1)</x:f>
        <x:v>0.13556338028169024</x:v>
      </x:c>
    </x:row>
    <x:row r="7">
      <x:c r="A7" t="str">
        <x:v>Gross profit</x:v>
      </x:c>
      <x:c r="B7" s="10" t="n">
        <x:v>16250000</x:v>
      </x:c>
      <x:c r="C7" s="10" t="n">
        <x:v>12800000</x:v>
      </x:c>
      <x:c r="D7" s="11" t="n">
        <x:f>IF(C7=0,0,B7/C7-1)</x:f>
        <x:v>0.26953125</x:v>
      </x:c>
    </x:row>
    <x:row r="8">
      <x:c r="A8" t="str">
        <x:v>Operating expenses</x:v>
      </x:c>
      <x:c r="B8" s="10" t="n">
        <x:v>-9350000</x:v>
      </x:c>
      <x:c r="C8" s="10" t="n">
        <x:v>-7400000</x:v>
      </x:c>
      <x:c r="D8" s="11" t="n">
        <x:f>IF(C8=0,0,B8/C8-1)</x:f>
        <x:v>0.2635135135135136</x:v>
      </x:c>
    </x:row>
    <x:row r="9">
      <x:c r="A9" t="str">
        <x:v>Operating profit</x:v>
      </x:c>
      <x:c r="B9" s="10" t="n">
        <x:v>6900000</x:v>
      </x:c>
      <x:c r="C9" s="10" t="n">
        <x:v>5400000</x:v>
      </x:c>
      <x:c r="D9" s="11" t="n">
        <x:f>IF(C9=0,0,B9/C9-1)</x:f>
        <x:v>0.2777777777777777</x:v>
      </x:c>
    </x:row>
    <x:row r="10">
      <x:c r="A10" t="str">
        <x:v>Finance costs</x:v>
      </x:c>
      <x:c r="B10" s="10" t="n">
        <x:v>-1300000</x:v>
      </x:c>
      <x:c r="C10" s="10" t="n">
        <x:v>-1050000</x:v>
      </x:c>
      <x:c r="D10" s="11" t="n">
        <x:f>IF(C10=0,0,B10/C10-1)</x:f>
        <x:v>0.23809523809523814</x:v>
      </x:c>
    </x:row>
    <x:row r="11">
      <x:c r="A11" t="str">
        <x:v>Tax expense</x:v>
      </x:c>
      <x:c r="B11" s="10" t="n">
        <x:v>-1950000</x:v>
      </x:c>
      <x:c r="C11" s="10" t="n">
        <x:v>-1640000</x:v>
      </x:c>
      <x:c r="D11" s="11" t="n">
        <x:f>IF(C11=0,0,B11/C11-1)</x:f>
        <x:v>0.18902439024390238</x:v>
      </x:c>
    </x:row>
    <x:row r="12">
      <x:c r="A12" t="str">
        <x:v>Net income</x:v>
      </x:c>
      <x:c r="B12" s="10" t="n">
        <x:v>3650000</x:v>
      </x:c>
      <x:c r="C12" s="10" t="n">
        <x:v>2710000</x:v>
      </x:c>
      <x:c r="D12" s="11" t="n">
        <x:f>IF(C12=0,0,B12/C12-1)</x:f>
        <x:v>0.3468634686346863</x:v>
      </x:c>
    </x:row>
    <x:row r="13">
      <x:c r="A13" t="str">
        <x:v>Total assets</x:v>
      </x:c>
      <x:c r="B13" s="10" t="n">
        <x:v>32500000</x:v>
      </x:c>
      <x:c r="C13" s="10" t="n">
        <x:v>28400000</x:v>
      </x:c>
      <x:c r="D13" s="11" t="n">
        <x:f>IF(C13=0,0,B13/C13-1)</x:f>
        <x:v>0.1443661971830985</x:v>
      </x:c>
    </x:row>
    <x:row r="14">
      <x:c r="A14" t="str">
        <x:v>Total liabilities</x:v>
      </x:c>
      <x:c r="B14" s="10" t="n">
        <x:v>16850000</x:v>
      </x:c>
      <x:c r="C14" s="10" t="n">
        <x:v>14900000</x:v>
      </x:c>
      <x:c r="D14" s="11" t="n">
        <x:f>IF(C14=0,0,B14/C14-1)</x:f>
        <x:v>0.1308724832214765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16" hidden="0" customWidth="1"/>
    <x:col min="4" max="4" width="19" hidden="0" customWidth="1"/>
    <x:col min="5" max="5" width="19" hidden="0" customWidth="1"/>
  </x:cols>
  <x:sheetData>
    <x:row r="1">
      <x:c r="A1" s="12" t="str">
        <x:v>Date</x:v>
      </x:c>
      <x:c r="B1" s="12" t="str">
        <x:v>Description</x:v>
      </x:c>
      <x:c r="C1" s="12" t="str">
        <x:v>Reference</x:v>
      </x:c>
      <x:c r="D1" s="12" t="str">
        <x:v>Amount (BDT)</x:v>
      </x:c>
      <x:c r="E1" s="12" t="str">
        <x:v>Balance (BDT)</x:v>
      </x:c>
    </x:row>
    <x:row r="2">
      <x:c r="A2" s="13" t="n">
        <x:v>45962</x:v>
      </x:c>
      <x:c r="B2" t="str">
        <x:v>Opening balance</x:v>
      </x:c>
      <x:c r="C2" t="str">
        <x:v>OPEN</x:v>
      </x:c>
      <x:c r="D2" s="14" t="n">
        <x:v>0</x:v>
      </x:c>
      <x:c r="E2" s="14" t="n">
        <x:v>1850000</x:v>
      </x:c>
    </x:row>
    <x:row r="3">
      <x:c r="A3" s="13" t="n">
        <x:v>45964</x:v>
      </x:c>
      <x:c r="B3" t="str">
        <x:v>Customer receipt - Orion Retail</x:v>
      </x:c>
      <x:c r="C3" t="str">
        <x:v>CR-1042</x:v>
      </x:c>
      <x:c r="D3" s="14" t="n">
        <x:v>1250000</x:v>
      </x:c>
      <x:c r="E3" s="14" t="n">
        <x:v>3100000</x:v>
      </x:c>
    </x:row>
    <x:row r="4">
      <x:c r="A4" s="13" t="n">
        <x:v>45966</x:v>
      </x:c>
      <x:c r="B4" t="str">
        <x:v>Supplier payment - Delta Textiles</x:v>
      </x:c>
      <x:c r="C4" t="str">
        <x:v>SP-883</x:v>
      </x:c>
      <x:c r="D4" s="14" t="n">
        <x:v>-680000</x:v>
      </x:c>
      <x:c r="E4" s="14" t="n">
        <x:v>2420000</x:v>
      </x:c>
    </x:row>
    <x:row r="5">
      <x:c r="A5" s="13" t="n">
        <x:v>45971</x:v>
      </x:c>
      <x:c r="B5" t="str">
        <x:v>Payroll</x:v>
      </x:c>
      <x:c r="C5" t="str">
        <x:v>PAY-NOV</x:v>
      </x:c>
      <x:c r="D5" s="14" t="n">
        <x:v>-420000</x:v>
      </x:c>
      <x:c r="E5" s="14" t="n">
        <x:v>2000000</x:v>
      </x:c>
    </x:row>
    <x:row r="6">
      <x:c r="A6" s="13" t="n">
        <x:v>45975</x:v>
      </x:c>
      <x:c r="B6" t="str">
        <x:v>Customer receipt - Meridian Stores</x:v>
      </x:c>
      <x:c r="C6" t="str">
        <x:v>CR-1057</x:v>
      </x:c>
      <x:c r="D6" s="14" t="n">
        <x:v>910000</x:v>
      </x:c>
      <x:c r="E6" s="14" t="n">
        <x:v>2910000</x:v>
      </x:c>
    </x:row>
    <x:row r="7">
      <x:c r="A7" s="13" t="n">
        <x:v>45979</x:v>
      </x:c>
      <x:c r="B7" t="str">
        <x:v>Loan repayment</x:v>
      </x:c>
      <x:c r="C7" t="str">
        <x:v>LN-221</x:v>
      </x:c>
      <x:c r="D7" s="14" t="n">
        <x:v>-275000</x:v>
      </x:c>
      <x:c r="E7" s="14" t="n">
        <x:v>2635000</x:v>
      </x:c>
    </x:row>
    <x:row r="8">
      <x:c r="A8" s="13" t="n">
        <x:v>45986</x:v>
      </x:c>
      <x:c r="B8" t="str">
        <x:v>Utilities and rent</x:v>
      </x:c>
      <x:c r="C8" t="str">
        <x:v>OPEX-77</x:v>
      </x:c>
      <x:c r="D8" s="14" t="n">
        <x:v>-185000</x:v>
      </x:c>
      <x:c r="E8" s="14" t="n">
        <x:v>2450000</x:v>
      </x:c>
    </x:row>
    <x:row r="9">
      <x:c r="A9" s="13" t="n">
        <x:v>45991</x:v>
      </x:c>
      <x:c r="B9" t="str">
        <x:v>Bank charges</x:v>
      </x:c>
      <x:c r="C9" t="str">
        <x:v>BANK</x:v>
      </x:c>
      <x:c r="D9" s="14" t="n">
        <x:v>-12500</x:v>
      </x:c>
      <x:c r="E9" s="14" t="n">
        <x:v>2437500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>
      <x:c r="A1" s="12" t="str">
        <x:v>Check</x:v>
      </x:c>
      <x:c r="B1" s="12" t="str">
        <x:v>Actual</x:v>
      </x:c>
      <x:c r="C1" s="12" t="str">
        <x:v>Expected</x:v>
      </x:c>
      <x:c r="D1" s="12" t="str">
        <x:v>Difference</x:v>
      </x:c>
      <x:c r="E1" s="12" t="str">
        <x:v>Status</x:v>
      </x:c>
    </x:row>
    <x:row r="2">
      <x:c r="A2" t="str">
        <x:v>Assets equal liabilities plus equity</x:v>
      </x:c>
      <x:c r="B2" t="n">
        <x:v>32500000</x:v>
      </x:c>
      <x:c r="C2" t="n">
        <x:v>32500000</x:v>
      </x:c>
      <x:c r="D2" t="n">
        <x:f>B2-C2</x:f>
        <x:v>0</x:v>
      </x:c>
      <x:c r="E2" t="str">
        <x:f>IF(ABS(D2)&lt;0.01,"OK","FAIL")</x:f>
        <x:v>OK</x:v>
      </x:c>
    </x:row>
    <x:row r="3">
      <x:c r="A3" t="str">
        <x:v>Closing bank balance</x:v>
      </x:c>
      <x:c r="B3" t="n">
        <x:v>2437500</x:v>
      </x:c>
      <x:c r="C3" t="n">
        <x:v>2437500</x:v>
      </x:c>
      <x:c r="D3" t="n">
        <x:f>B3-C3</x:f>
        <x:v>0</x:v>
      </x:c>
      <x:c r="E3" t="str">
        <x:f>IF(ABS(D3)&lt;0.01,"OK","FAIL")</x:f>
        <x:v>OK</x:v>
      </x:c>
    </x:row>
  </x:sheetData>
  <x:pageMargins left="0.7" right="0.7" top="0.75" bottom="0.75" header="0.3" footer="0.3"/>
</x:worksheet>
</file>